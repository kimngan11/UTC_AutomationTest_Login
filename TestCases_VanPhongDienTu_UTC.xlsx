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octap\KI1NAM4\Test\AutomationTest\"/>
    </mc:Choice>
  </mc:AlternateContent>
  <xr:revisionPtr revIDLastSave="0" documentId="13_ncr:1_{365E045F-0067-41D4-8288-12BC0EFD69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Tổng qu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" l="1"/>
  <c r="C16" i="2"/>
  <c r="C15" i="2"/>
  <c r="C14" i="2"/>
  <c r="C18" i="2" l="1"/>
  <c r="D15" i="2" s="1"/>
  <c r="D16" i="2" l="1"/>
  <c r="D14" i="2"/>
  <c r="D17" i="2"/>
  <c r="D18" i="2"/>
</calcChain>
</file>

<file path=xl/sharedStrings.xml><?xml version="1.0" encoding="utf-8"?>
<sst xmlns="http://schemas.openxmlformats.org/spreadsheetml/2006/main" count="192" uniqueCount="145">
  <si>
    <t>BẢNG KỊCH BẢN KIỂM THỬ (TEST CASES) - VĂN PHÒNG ĐIỆN TỬ UTC</t>
  </si>
  <si>
    <t>Chức năng: Đăng nhập hệ thống (vanphongdientu.utc.edu.vn) | Phiên bản: 1.0</t>
  </si>
  <si>
    <t>STT</t>
  </si>
  <si>
    <t>Mã Test Case (ID)</t>
  </si>
  <si>
    <t>Phân loại</t>
  </si>
  <si>
    <t>Mô tả kiểm thử (Description)</t>
  </si>
  <si>
    <t>Điều kiện tiên quyết (Pre-conditions)</t>
  </si>
  <si>
    <t>Các bước thực hiện (Steps)</t>
  </si>
  <si>
    <t>Dữ liệu kiểm thử (Test Data)</t>
  </si>
  <si>
    <t>Kết quả mong đợi (Expected Output)</t>
  </si>
  <si>
    <t>Trạng thái (Status)</t>
  </si>
  <si>
    <t>TC01</t>
  </si>
  <si>
    <t>Kiểm thử lỗi (Negative)</t>
  </si>
  <si>
    <t>Để trống Tên đăng nhập (chỉ nhập Mật khẩu)</t>
  </si>
  <si>
    <t>Đã mở trình duyệt và truy cập trang đăng nhập</t>
  </si>
  <si>
    <t>1. Mở trang vanphongdientu.utc.edu.vn
2. Click vào ô pass
3. Nhập pass là "1256"
4. Click vào nút "Đăng nhập"</t>
  </si>
  <si>
    <t>Username: [Để trống]
Password: "1256"</t>
  </si>
  <si>
    <t>Hệ thống hiển thị thông báo lỗi: "Bạn chưa nhập tên đăng nhập"</t>
  </si>
  <si>
    <t>Đạt (Pass)</t>
  </si>
  <si>
    <t>TC02</t>
  </si>
  <si>
    <t>Để trống Mật khẩu (chỉ nhập Tên đăng nhập)</t>
  </si>
  <si>
    <t>1. Mở trang vanphongdientu.utc.edu.vn
2. Click vào ô username
3. Nhập user là huongnt
4. Click vào nút "Đăng nhập"</t>
  </si>
  <si>
    <t>Username: huongnt
Password: [Để trống]</t>
  </si>
  <si>
    <t>Hệ thống hiển thị thông báo lỗi: "Bạn chưa nhập mật khẩu"</t>
  </si>
  <si>
    <t>TC03</t>
  </si>
  <si>
    <t>Nhập đúng Tên đăng nhập, sai Mật khẩu</t>
  </si>
  <si>
    <t>Tài khoản 'huongnt' đã tồn tại trên hệ thống</t>
  </si>
  <si>
    <t>1. Mở trang vanphongdientu.utc.edu.vn
2. Click vào ô username
3. Nhập user là huongnt
4. Click vào ô pass
5. Nhập pass là: utc@235
6. Click vào nút "Đăng nhập"</t>
  </si>
  <si>
    <t>Username: huongnt
Password: utc@235 (sai)</t>
  </si>
  <si>
    <t>Hệ thống hiển thị thông báo lỗi: "Tài khoản không đúng"</t>
  </si>
  <si>
    <t>TC04</t>
  </si>
  <si>
    <t>Nhập sai Tên đăng nhập, đúng định dạng Mật khẩu</t>
  </si>
  <si>
    <t>1. Mở trang vanphongdientu.utc.edu.vn
2. Click vào ô username
3. Nhập user là huongthunguyen
4. Click vào ô pass
5. Nhập pass là: 123456@utc
6. Click vào nút "Đăng nhập"</t>
  </si>
  <si>
    <t>Username: huongthunguyen (không tồn tại)
Password: 123456@utc</t>
  </si>
  <si>
    <t>TC05</t>
  </si>
  <si>
    <t>Kiểm thử thành công (Positive)</t>
  </si>
  <si>
    <t>Đăng nhập thành công và chọn "Giữ tôi luôn đăng nhập"</t>
  </si>
  <si>
    <t>Tài khoản 'huongnt' hợp lệ, mật khẩu đúng '123456@utc'</t>
  </si>
  <si>
    <t>1. Mở trang vanphongdientu.utc.edu.vn
2. Click vào ô username
3. Nhập user là huongnt
4. Click vào ô pass
5. Nhập pass là: 123456@utc
6. Tích chọn "Giữ tôi luôn đăng nhập"
7. Click vào nút "Đăng nhập"
8. Đóng trình duyệt và mở lại URL hệ thống</t>
  </si>
  <si>
    <t>Username: huongnt
Password: 123456@utc
Checkbox: Checked</t>
  </si>
  <si>
    <t>- Đưa vào trang chủ sau khi bấm Đăng nhập.
- Khi mở lại trình duyệt: Hệ thống tự động vào trang chủ mà không yêu cầu đăng nhập lại.</t>
  </si>
  <si>
    <t>TC06</t>
  </si>
  <si>
    <t>Đăng nhập thành công và không chọn "Giữ tôi luôn đăng nhập"</t>
  </si>
  <si>
    <t>1. Mở trang vanphongdientu.utc.edu.vn
2. Click vào ô username
3. Nhập user là huongnt
4. Click vào ô pass
5. Nhập pass là: 123456@utc
6. Không tích checkbox "Giữ tôi luôn đăng nhập"
7. Click vào nút "Đăng nhập"
8. Đóng trình duyệt và mở lại URL hệ thống</t>
  </si>
  <si>
    <t>Username: huongnt
Password: 123456@utc
Checkbox: Unchecked</t>
  </si>
  <si>
    <t>- Đưa vào trang chủ sau khi bấm Đăng nhập.
- Khi mở lại trình duyệt: Trình duyệt chuyển hướng về trang đăng nhập.</t>
  </si>
  <si>
    <t>TC07</t>
  </si>
  <si>
    <t>Để trống cả Tên đăng nhập và Mật khẩu</t>
  </si>
  <si>
    <t>1. Mở trang vanphongdientu.utc.edu.vn
2. Để trống cả 2 ô username và password
3. Click vào nút "Đăng nhập"</t>
  </si>
  <si>
    <t>Username: [Để trống]
Password: [Để trống]</t>
  </si>
  <si>
    <t>Hệ thống cảnh báo yêu cầu nhập tên đăng nhập và mật khẩu (hoặc báo 'Bạn chưa nhập tên đăng nhập')</t>
  </si>
  <si>
    <t>TC08</t>
  </si>
  <si>
    <t>Kiểm thử giao diện &amp; Bảo mật</t>
  </si>
  <si>
    <t>Kiểm tra tính năng ẩn mật khẩu (Masked characters)</t>
  </si>
  <si>
    <t>1. Mở trang vanphongdientu.utc.edu.vn
2. Nhập ký tự bất kỳ vào ô "Mật khẩu"</t>
  </si>
  <si>
    <t>Password: Abc@123456</t>
  </si>
  <si>
    <t>Các ký tự nhập vào hiển thị dưới dạng dấu chấm tròn (•) hoặc dấu sao (*), không nhìn thấy văn bản rõ.</t>
  </si>
  <si>
    <t>TC09</t>
  </si>
  <si>
    <t>Kiểm thử liên kết (Functional)</t>
  </si>
  <si>
    <t>Kiểm tra chức năng liên kết "Đăng nhập bằng e-mail UTC"</t>
  </si>
  <si>
    <t>Đã mở trang đăng nhập</t>
  </si>
  <si>
    <t>1. Mở trang vanphongdientu.utc.edu.vn
2. Click vào nút / liên kết "Đăng nhập bằng e-mail UTC"</t>
  </si>
  <si>
    <t>N/A</t>
  </si>
  <si>
    <t>Hệ thống chuyển hướng thành công đến trang đăng nhập Microsoft 365 / Google SSO của trường UTC.</t>
  </si>
  <si>
    <t>TC10</t>
  </si>
  <si>
    <t>Kiểm tra liên kết "Bạn quên mật khẩu đăng nhập ?"</t>
  </si>
  <si>
    <t>1. Mở trang vanphongdientu.utc.edu.vn
2. Click vào liên kết "Bạn quên mật khẩu đăng nhập ?"</t>
  </si>
  <si>
    <t>Hệ thống điều hướng đến trang khôi phục / hướng dẫn cấp lại mật khẩu cho cán bộ, giảng viên.</t>
  </si>
  <si>
    <t>TC11</t>
  </si>
  <si>
    <t>Kiểm thử chức năng (Functional / Keyboard)</t>
  </si>
  <si>
    <t>Đăng nhập bằng cách nhấn phím Enter từ bàn phím</t>
  </si>
  <si>
    <t>1. Mở trang vanphongdientu.utc.edu.vn
2. Nhập mật khẩu là "1256"
3. Nhấn phím Enter trên bàn phím</t>
  </si>
  <si>
    <t>Username: [Để trống]
Password: "1256"
Key: ENTER</t>
  </si>
  <si>
    <t>Hệ thống gửi form và hiển thị cảnh báo: "Bạn chưa nhập tên đăng nhập"</t>
  </si>
  <si>
    <t>TC12</t>
  </si>
  <si>
    <t>Kiểm thử lỗi (Negative / White-space)</t>
  </si>
  <si>
    <t>Tên đăng nhập chỉ chứa toàn khoảng trắng (Space-only)</t>
  </si>
  <si>
    <t>1. Mở trang vanphongdientu.utc.edu.vn
2. Nhập username là các dấu cách "   "
3. Nhập pass là "123456"
4. Click nút "Đăng nhập"</t>
  </si>
  <si>
    <t>Username: "   "
Password: "123456"</t>
  </si>
  <si>
    <t>Hệ thống từ chối đăng nhập và hiển thị thông báo lỗi</t>
  </si>
  <si>
    <t>TC13</t>
  </si>
  <si>
    <t>Mật khẩu chỉ chứa toàn khoảng trắng (Space-only)</t>
  </si>
  <si>
    <t>1. Mở trang vanphongdientu.utc.edu.vn
2. Nhập user là "huongnt"
3. Nhập pass là các dấu cách "   "
4. Click nút "Đăng nhập"</t>
  </si>
  <si>
    <t>Username: "huongnt"
Password: "   "</t>
  </si>
  <si>
    <t>TC14</t>
  </si>
  <si>
    <t>Kiểm thử bảo mật (Security / SQLi)</t>
  </si>
  <si>
    <t>Kiểm tra khả năng chống tấn công SQL Injection cơ bản</t>
  </si>
  <si>
    <t>1. Mở trang vanphongdientu.utc.edu.vn
2. Nhập user chuỗi: ' OR '1'='1
3. Nhập password bất kỳ
4. Click nút "Đăng nhập"</t>
  </si>
  <si>
    <t>Username: "' OR '1'='1"
Password: "123456"</t>
  </si>
  <si>
    <t>Hệ thống an toàn không lỗi 500, báo "Tài khoản hoặc mật khẩu không đúng."</t>
  </si>
  <si>
    <t>TC15</t>
  </si>
  <si>
    <t>Kiểm thử bảo mật (Security / XSS)</t>
  </si>
  <si>
    <t>Kiểm tra khả năng chống tấn công XSS Script Injection</t>
  </si>
  <si>
    <t>1. Mở trang vanphongdientu.utc.edu.vn
2. Nhập user: &lt;script&gt;alert(1)&lt;/script&gt;
3. Nhập password
4. Click nút "Đăng nhập"</t>
  </si>
  <si>
    <t>Username: "&lt;script&gt;alert(1)&lt;/script&gt;"
Password: "123456"</t>
  </si>
  <si>
    <t>Hệ thống không thực thi script, xử lý an toàn và báo lỗi</t>
  </si>
  <si>
    <t>TC16</t>
  </si>
  <si>
    <t>Kiểm thử biên (Boundary Value)</t>
  </si>
  <si>
    <t>Nhập Tên đăng nhập có độ dài cực đại (300 ký tự)</t>
  </si>
  <si>
    <t>1. Mở trang vanphongdientu.utc.edu.vn
2. Nhập username chuỗi 300 ký tự
3. Nhập mật khẩu
4. Click nút "Đăng nhập"</t>
  </si>
  <si>
    <t>Username: Chuỗi 300 ký tự
Password: "123456"</t>
  </si>
  <si>
    <t>Hệ thống không tràn bộ đệm hay sập web, hiển thị thông báo lỗi</t>
  </si>
  <si>
    <t>TC17</t>
  </si>
  <si>
    <t>Kiểm thử dữ liệu (Data Validation)</t>
  </si>
  <si>
    <t>Tên đăng nhập chứa tập ký tự đặc biệt (!@#$%^&amp;*())</t>
  </si>
  <si>
    <t>1. Mở trang vanphongdientu.utc.edu.vn
2. Nhập user: admin!@#$%^&amp;*()
3. Nhập password
4. Click nút "Đăng nhập"</t>
  </si>
  <si>
    <t>Username: "admin!@#$%^&amp;*()"
Password: "123456"</t>
  </si>
  <si>
    <t>Hệ thống xử lý an toàn và báo lỗi tài khoản không đúng</t>
  </si>
  <si>
    <t>TC18</t>
  </si>
  <si>
    <t>Kiểm thử giao diện (UI / Placeholder)</t>
  </si>
  <si>
    <t>Kiểm tra văn bản gợi ý (Placeholder) trên các trường</t>
  </si>
  <si>
    <t>1. Mở trang vanphongdientu.utc.edu.vn
2. Kiểm tra thuộc tính placeholder của ô username và password</t>
  </si>
  <si>
    <t>Username: "Tên đăng nhập", Password: "Mật khẩu"</t>
  </si>
  <si>
    <t>TC19</t>
  </si>
  <si>
    <t>Trải nghiệm người dùng (Usability / Tab Key)</t>
  </si>
  <si>
    <t>Kiểm tra điều hướng chuyển con trỏ bằng phím Tab</t>
  </si>
  <si>
    <t>1. Focus vào ô Tên đăng nhập
2. Nhấn phím Tab trên bàn phím
3. Kiểm tra phần tử nhận focus</t>
  </si>
  <si>
    <t>Key: TAB</t>
  </si>
  <si>
    <t>Con trỏ tự động chuyển focus chính xác sang ô Mật khẩu</t>
  </si>
  <si>
    <t>TC20</t>
  </si>
  <si>
    <t>Kiểm thử liên kết (Functional / Footer Links)</t>
  </si>
  <si>
    <t>Kiểm tra tính đúng đắn của các liên kết ở chân trang</t>
  </si>
  <si>
    <t>1. Mở trang vanphongdientu.utc.edu.vn
2. Kiểm tra href link "Trung tâm trợ giúp" và "Ý kiến phản hồi"</t>
  </si>
  <si>
    <t>Help link: http://hotrokythuat.utc.edu.vn, Feedback link: mailto:hotrokythuat@utc.edu.vn</t>
  </si>
  <si>
    <t>BÁO CÁO TỔNG QUAN KIỂM THỬ</t>
  </si>
  <si>
    <t>Dự án / Hệ thống:</t>
  </si>
  <si>
    <t>Hệ thống Văn phòng điện tử UTC (vanphongdientu.utc.edu.vn)</t>
  </si>
  <si>
    <t>Mô-đun kiểm thử:</t>
  </si>
  <si>
    <t>Xác thực &amp; Phân quyền - Chức năng Đăng nhập</t>
  </si>
  <si>
    <t>Tác giả / Người tạo:</t>
  </si>
  <si>
    <t>Tester / Giảng viên hướng dẫn UTC</t>
  </si>
  <si>
    <t>Ngày tạo:</t>
  </si>
  <si>
    <t>08/10/2026</t>
  </si>
  <si>
    <t>Tổng số Test Cases:</t>
  </si>
  <si>
    <t>Số ca kiểm thử Positive:</t>
  </si>
  <si>
    <t>Số ca kiểm thử Negative:</t>
  </si>
  <si>
    <t>Số ca kiểm thử Khác (UI/Link):</t>
  </si>
  <si>
    <t>Trạng thái kiểm thử</t>
  </si>
  <si>
    <t>Số lượng</t>
  </si>
  <si>
    <t>Tỷ lệ (%)</t>
  </si>
  <si>
    <t>Thất bại (Fail)</t>
  </si>
  <si>
    <t>Chưa chạy</t>
  </si>
  <si>
    <t>Tạm hoãn (Blocked)</t>
  </si>
  <si>
    <t>Tổng cộng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</si>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</sst>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5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1F4E79"/>
      <name val="Calibri"/>
    </font>
    <font>
      <i/>
      <sz val="10"/>
      <name val="Calibri"/>
    </font>
    <font>
      <b/>
      <sz val="14"/>
      <color rgb="FF1F4E79"/>
      <name val="Calibri"/>
    </font>
    <font>
      <b/>
      <sz val="10"/>
      <color rgb="FF333333"/>
      <name val="Calibri"/>
    </font>
    <font>
      <sz val="10"/>
      <color rgb="FF000000"/>
      <name val="Calibri"/>
    </font>
    <font>
      <b/>
      <sz val="11"/>
      <color rgb="FF1F4E79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4" fontId="11" fillId="5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C7" workbookViewId="0">
      <selection activeCell="J9" sqref="J9"/>
    </sheetView>
  </sheetViews>
  <sheetFormatPr defaultRowHeight="14.4" x14ac:dyDescent="0.3"/>
  <cols>
    <col min="1" max="1" width="7" customWidth="1"/>
    <col min="2" max="2" width="14" customWidth="1"/>
    <col min="3" max="3" width="18" customWidth="1"/>
    <col min="4" max="4" width="26" customWidth="1"/>
    <col min="5" max="5" width="24" customWidth="1"/>
    <col min="6" max="6" width="38" customWidth="1"/>
    <col min="7" max="7" width="24" customWidth="1"/>
    <col min="8" max="8" width="36" customWidth="1"/>
    <col min="9" max="9" width="15" customWidth="1"/>
  </cols>
  <sheetData>
    <row r="1" spans="1:9" ht="34.950000000000003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9.95" customHeight="1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</row>
    <row r="4" spans="1:9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70.05" customHeight="1" x14ac:dyDescent="0.3">
      <c r="A5" s="2">
        <v>1</v>
      </c>
      <c r="B5" s="3" t="s">
        <v>11</v>
      </c>
      <c r="C5" s="4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2" t="s">
        <v>18</v>
      </c>
    </row>
    <row r="6" spans="1:9" ht="70.05" customHeight="1" x14ac:dyDescent="0.3">
      <c r="A6" s="6">
        <v>2</v>
      </c>
      <c r="B6" s="7" t="s">
        <v>19</v>
      </c>
      <c r="C6" s="8" t="s">
        <v>12</v>
      </c>
      <c r="D6" s="9" t="s">
        <v>20</v>
      </c>
      <c r="E6" s="9" t="s">
        <v>14</v>
      </c>
      <c r="F6" s="9" t="s">
        <v>21</v>
      </c>
      <c r="G6" s="9" t="s">
        <v>22</v>
      </c>
      <c r="H6" s="9" t="s">
        <v>23</v>
      </c>
      <c r="I6" s="6" t="s">
        <v>18</v>
      </c>
    </row>
    <row r="7" spans="1:9" ht="70.05" customHeight="1" x14ac:dyDescent="0.3">
      <c r="A7" s="2">
        <v>3</v>
      </c>
      <c r="B7" s="3" t="s">
        <v>24</v>
      </c>
      <c r="C7" s="4" t="s">
        <v>12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2" t="s">
        <v>18</v>
      </c>
    </row>
    <row r="8" spans="1:9" ht="70.05" customHeight="1" x14ac:dyDescent="0.3">
      <c r="A8" s="6">
        <v>4</v>
      </c>
      <c r="B8" s="7" t="s">
        <v>30</v>
      </c>
      <c r="C8" s="8" t="s">
        <v>12</v>
      </c>
      <c r="D8" s="9" t="s">
        <v>31</v>
      </c>
      <c r="E8" s="9" t="s">
        <v>14</v>
      </c>
      <c r="F8" s="9" t="s">
        <v>32</v>
      </c>
      <c r="G8" s="9" t="s">
        <v>33</v>
      </c>
      <c r="H8" s="9" t="s">
        <v>29</v>
      </c>
      <c r="I8" s="6" t="s">
        <v>18</v>
      </c>
    </row>
    <row r="9" spans="1:9" ht="70.05" customHeight="1" x14ac:dyDescent="0.3">
      <c r="A9" s="2">
        <v>5</v>
      </c>
      <c r="B9" s="3" t="s">
        <v>34</v>
      </c>
      <c r="C9" s="4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5" t="s">
        <v>40</v>
      </c>
      <c r="I9" s="2" t="s">
        <v>144</v>
      </c>
    </row>
    <row r="10" spans="1:9" ht="70.05" customHeight="1" x14ac:dyDescent="0.3">
      <c r="A10" s="6">
        <v>6</v>
      </c>
      <c r="B10" s="7" t="s">
        <v>41</v>
      </c>
      <c r="C10" s="8" t="s">
        <v>35</v>
      </c>
      <c r="D10" s="9" t="s">
        <v>42</v>
      </c>
      <c r="E10" s="9" t="s">
        <v>37</v>
      </c>
      <c r="F10" s="9" t="s">
        <v>43</v>
      </c>
      <c r="G10" s="9" t="s">
        <v>44</v>
      </c>
      <c r="H10" s="9" t="s">
        <v>45</v>
      </c>
      <c r="I10" s="6" t="s">
        <v>144</v>
      </c>
    </row>
    <row r="11" spans="1:9" ht="70.05" customHeight="1" x14ac:dyDescent="0.3">
      <c r="A11" s="2">
        <v>7</v>
      </c>
      <c r="B11" s="3" t="s">
        <v>46</v>
      </c>
      <c r="C11" s="4" t="s">
        <v>12</v>
      </c>
      <c r="D11" s="5" t="s">
        <v>47</v>
      </c>
      <c r="E11" s="5" t="s">
        <v>14</v>
      </c>
      <c r="F11" s="5" t="s">
        <v>48</v>
      </c>
      <c r="G11" s="5" t="s">
        <v>49</v>
      </c>
      <c r="H11" s="5" t="s">
        <v>50</v>
      </c>
      <c r="I11" s="2" t="s">
        <v>18</v>
      </c>
    </row>
    <row r="12" spans="1:9" ht="70.05" customHeight="1" x14ac:dyDescent="0.3">
      <c r="A12" s="6">
        <v>8</v>
      </c>
      <c r="B12" s="7" t="s">
        <v>51</v>
      </c>
      <c r="C12" s="8" t="s">
        <v>52</v>
      </c>
      <c r="D12" s="9" t="s">
        <v>53</v>
      </c>
      <c r="E12" s="9" t="s">
        <v>14</v>
      </c>
      <c r="F12" s="9" t="s">
        <v>54</v>
      </c>
      <c r="G12" s="9" t="s">
        <v>55</v>
      </c>
      <c r="H12" s="9" t="s">
        <v>56</v>
      </c>
      <c r="I12" s="6" t="s">
        <v>18</v>
      </c>
    </row>
    <row r="13" spans="1:9" ht="70.05" customHeight="1" x14ac:dyDescent="0.3">
      <c r="A13" s="2">
        <v>9</v>
      </c>
      <c r="B13" s="3" t="s">
        <v>57</v>
      </c>
      <c r="C13" s="4" t="s">
        <v>58</v>
      </c>
      <c r="D13" s="5" t="s">
        <v>59</v>
      </c>
      <c r="E13" s="5" t="s">
        <v>60</v>
      </c>
      <c r="F13" s="5" t="s">
        <v>61</v>
      </c>
      <c r="G13" s="5" t="s">
        <v>62</v>
      </c>
      <c r="H13" s="5" t="s">
        <v>63</v>
      </c>
      <c r="I13" s="2" t="s">
        <v>18</v>
      </c>
    </row>
    <row r="14" spans="1:9" ht="70.05" customHeight="1" x14ac:dyDescent="0.3">
      <c r="A14" s="6">
        <v>10</v>
      </c>
      <c r="B14" s="7" t="s">
        <v>64</v>
      </c>
      <c r="C14" s="8" t="s">
        <v>58</v>
      </c>
      <c r="D14" s="9" t="s">
        <v>65</v>
      </c>
      <c r="E14" s="9" t="s">
        <v>60</v>
      </c>
      <c r="F14" s="9" t="s">
        <v>66</v>
      </c>
      <c r="G14" s="9" t="s">
        <v>62</v>
      </c>
      <c r="H14" s="9" t="s">
        <v>67</v>
      </c>
      <c r="I14" s="6" t="s">
        <v>18</v>
      </c>
    </row>
    <row r="15" spans="1:9" ht="41.4" x14ac:dyDescent="0.3">
      <c r="A15" s="6">
        <v>11</v>
      </c>
      <c r="B15" s="7" t="s">
        <v>68</v>
      </c>
      <c r="C15" s="8" t="s">
        <v>69</v>
      </c>
      <c r="D15" s="9" t="s">
        <v>70</v>
      </c>
      <c r="E15" s="9" t="s">
        <v>60</v>
      </c>
      <c r="F15" s="9" t="s">
        <v>71</v>
      </c>
      <c r="G15" s="9" t="s">
        <v>72</v>
      </c>
      <c r="H15" s="9" t="s">
        <v>73</v>
      </c>
      <c r="I15" s="6" t="s">
        <v>18</v>
      </c>
    </row>
    <row r="16" spans="1:9" ht="55.2" x14ac:dyDescent="0.3">
      <c r="A16" s="6">
        <v>12</v>
      </c>
      <c r="B16" s="7" t="s">
        <v>74</v>
      </c>
      <c r="C16" s="8" t="s">
        <v>75</v>
      </c>
      <c r="D16" s="9" t="s">
        <v>76</v>
      </c>
      <c r="E16" s="9" t="s">
        <v>60</v>
      </c>
      <c r="F16" s="9" t="s">
        <v>77</v>
      </c>
      <c r="G16" s="9" t="s">
        <v>78</v>
      </c>
      <c r="H16" s="9" t="s">
        <v>79</v>
      </c>
      <c r="I16" s="6" t="s">
        <v>18</v>
      </c>
    </row>
    <row r="17" spans="1:9" ht="55.2" x14ac:dyDescent="0.3">
      <c r="A17" s="6">
        <v>13</v>
      </c>
      <c r="B17" s="7" t="s">
        <v>80</v>
      </c>
      <c r="C17" s="8" t="s">
        <v>75</v>
      </c>
      <c r="D17" s="9" t="s">
        <v>81</v>
      </c>
      <c r="E17" s="9" t="s">
        <v>60</v>
      </c>
      <c r="F17" s="9" t="s">
        <v>82</v>
      </c>
      <c r="G17" s="9" t="s">
        <v>83</v>
      </c>
      <c r="H17" s="9" t="s">
        <v>79</v>
      </c>
      <c r="I17" s="6" t="s">
        <v>18</v>
      </c>
    </row>
    <row r="18" spans="1:9" ht="55.2" x14ac:dyDescent="0.3">
      <c r="A18" s="6">
        <v>14</v>
      </c>
      <c r="B18" s="7" t="s">
        <v>84</v>
      </c>
      <c r="C18" s="8" t="s">
        <v>85</v>
      </c>
      <c r="D18" s="9" t="s">
        <v>86</v>
      </c>
      <c r="E18" s="9" t="s">
        <v>60</v>
      </c>
      <c r="F18" s="9" t="s">
        <v>87</v>
      </c>
      <c r="G18" s="9" t="s">
        <v>88</v>
      </c>
      <c r="H18" s="9" t="s">
        <v>89</v>
      </c>
      <c r="I18" s="6" t="s">
        <v>18</v>
      </c>
    </row>
    <row r="19" spans="1:9" ht="55.2" x14ac:dyDescent="0.3">
      <c r="A19" s="6">
        <v>15</v>
      </c>
      <c r="B19" s="7" t="s">
        <v>90</v>
      </c>
      <c r="C19" s="8" t="s">
        <v>91</v>
      </c>
      <c r="D19" s="9" t="s">
        <v>92</v>
      </c>
      <c r="E19" s="9" t="s">
        <v>60</v>
      </c>
      <c r="F19" s="9" t="s">
        <v>93</v>
      </c>
      <c r="G19" s="9" t="s">
        <v>94</v>
      </c>
      <c r="H19" s="9" t="s">
        <v>95</v>
      </c>
      <c r="I19" s="6" t="s">
        <v>18</v>
      </c>
    </row>
    <row r="20" spans="1:9" ht="55.2" x14ac:dyDescent="0.3">
      <c r="A20" s="6">
        <v>16</v>
      </c>
      <c r="B20" s="7" t="s">
        <v>96</v>
      </c>
      <c r="C20" s="8" t="s">
        <v>97</v>
      </c>
      <c r="D20" s="9" t="s">
        <v>98</v>
      </c>
      <c r="E20" s="9" t="s">
        <v>60</v>
      </c>
      <c r="F20" s="9" t="s">
        <v>99</v>
      </c>
      <c r="G20" s="9" t="s">
        <v>100</v>
      </c>
      <c r="H20" s="9" t="s">
        <v>101</v>
      </c>
      <c r="I20" s="6" t="s">
        <v>18</v>
      </c>
    </row>
    <row r="21" spans="1:9" ht="55.2" x14ac:dyDescent="0.3">
      <c r="A21" s="6">
        <v>17</v>
      </c>
      <c r="B21" s="7" t="s">
        <v>102</v>
      </c>
      <c r="C21" s="8" t="s">
        <v>103</v>
      </c>
      <c r="D21" s="9" t="s">
        <v>104</v>
      </c>
      <c r="E21" s="9" t="s">
        <v>60</v>
      </c>
      <c r="F21" s="9" t="s">
        <v>105</v>
      </c>
      <c r="G21" s="9" t="s">
        <v>106</v>
      </c>
      <c r="H21" s="9" t="s">
        <v>107</v>
      </c>
      <c r="I21" s="6" t="s">
        <v>18</v>
      </c>
    </row>
    <row r="22" spans="1:9" ht="41.4" x14ac:dyDescent="0.3">
      <c r="A22" s="6">
        <v>18</v>
      </c>
      <c r="B22" s="7" t="s">
        <v>108</v>
      </c>
      <c r="C22" s="8" t="s">
        <v>109</v>
      </c>
      <c r="D22" s="9" t="s">
        <v>110</v>
      </c>
      <c r="E22" s="9" t="s">
        <v>60</v>
      </c>
      <c r="F22" s="9" t="s">
        <v>111</v>
      </c>
      <c r="G22" s="9" t="s">
        <v>62</v>
      </c>
      <c r="H22" s="9" t="s">
        <v>112</v>
      </c>
      <c r="I22" s="6" t="s">
        <v>18</v>
      </c>
    </row>
    <row r="23" spans="1:9" ht="41.4" x14ac:dyDescent="0.3">
      <c r="A23" s="6">
        <v>19</v>
      </c>
      <c r="B23" s="7" t="s">
        <v>113</v>
      </c>
      <c r="C23" s="8" t="s">
        <v>114</v>
      </c>
      <c r="D23" s="9" t="s">
        <v>115</v>
      </c>
      <c r="E23" s="9" t="s">
        <v>60</v>
      </c>
      <c r="F23" s="9" t="s">
        <v>116</v>
      </c>
      <c r="G23" s="9" t="s">
        <v>117</v>
      </c>
      <c r="H23" s="9" t="s">
        <v>118</v>
      </c>
      <c r="I23" s="6" t="s">
        <v>18</v>
      </c>
    </row>
    <row r="24" spans="1:9" ht="41.4" x14ac:dyDescent="0.3">
      <c r="A24" s="6">
        <v>20</v>
      </c>
      <c r="B24" s="7" t="s">
        <v>119</v>
      </c>
      <c r="C24" s="8" t="s">
        <v>120</v>
      </c>
      <c r="D24" s="9" t="s">
        <v>121</v>
      </c>
      <c r="E24" s="9" t="s">
        <v>60</v>
      </c>
      <c r="F24" s="9" t="s">
        <v>122</v>
      </c>
      <c r="G24" s="9" t="s">
        <v>62</v>
      </c>
      <c r="H24" s="9" t="s">
        <v>123</v>
      </c>
      <c r="I24" s="6" t="s">
        <v>18</v>
      </c>
    </row>
  </sheetData>
  <mergeCells count="2">
    <mergeCell ref="A1:I1"/>
    <mergeCell ref="A2:I2"/>
  </mergeCells>
  <dataValidations count="1">
    <dataValidation type="list" allowBlank="1" sqref="I5:I14" xr:uid="{00000000-0002-0000-0000-000000000000}">
      <formula1>"Chưa chạy, Đạt (Pass), Thất bại (Fail), Tạm hoãn (Blocked)"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8"/>
  <sheetViews>
    <sheetView workbookViewId="0"/>
  </sheetViews>
  <sheetFormatPr defaultRowHeight="14.4" x14ac:dyDescent="0.3"/>
  <cols>
    <col min="2" max="2" width="25" customWidth="1"/>
    <col min="3" max="5" width="15" customWidth="1"/>
    <col min="6" max="6" width="20" customWidth="1"/>
  </cols>
  <sheetData>
    <row r="2" spans="2:6" ht="30" customHeight="1" x14ac:dyDescent="0.3">
      <c r="B2" s="20" t="s">
        <v>124</v>
      </c>
      <c r="C2" s="17"/>
      <c r="D2" s="17"/>
      <c r="E2" s="17"/>
      <c r="F2" s="17"/>
    </row>
    <row r="4" spans="2:6" ht="22.05" customHeight="1" x14ac:dyDescent="0.3">
      <c r="B4" s="10" t="s">
        <v>125</v>
      </c>
      <c r="C4" s="19" t="s">
        <v>126</v>
      </c>
      <c r="D4" s="17"/>
      <c r="E4" s="17"/>
      <c r="F4" s="17"/>
    </row>
    <row r="5" spans="2:6" ht="22.05" customHeight="1" x14ac:dyDescent="0.3">
      <c r="B5" s="10" t="s">
        <v>127</v>
      </c>
      <c r="C5" s="19" t="s">
        <v>128</v>
      </c>
      <c r="D5" s="17"/>
      <c r="E5" s="17"/>
      <c r="F5" s="17"/>
    </row>
    <row r="6" spans="2:6" ht="22.05" customHeight="1" x14ac:dyDescent="0.3">
      <c r="B6" s="10" t="s">
        <v>129</v>
      </c>
      <c r="C6" s="19" t="s">
        <v>130</v>
      </c>
      <c r="D6" s="17"/>
      <c r="E6" s="17"/>
      <c r="F6" s="17"/>
    </row>
    <row r="7" spans="2:6" ht="22.05" customHeight="1" x14ac:dyDescent="0.3">
      <c r="B7" s="10" t="s">
        <v>131</v>
      </c>
      <c r="C7" s="19" t="s">
        <v>132</v>
      </c>
      <c r="D7" s="17"/>
      <c r="E7" s="17"/>
      <c r="F7" s="17"/>
    </row>
    <row r="8" spans="2:6" ht="22.05" customHeight="1" x14ac:dyDescent="0.3">
      <c r="B8" s="10" t="s">
        <v>133</v>
      </c>
      <c r="C8" s="19">
        <v>20</v>
      </c>
      <c r="D8" s="17"/>
      <c r="E8" s="17"/>
      <c r="F8" s="17"/>
    </row>
    <row r="9" spans="2:6" ht="22.05" customHeight="1" x14ac:dyDescent="0.3">
      <c r="B9" s="10" t="s">
        <v>134</v>
      </c>
      <c r="C9" s="19">
        <v>3</v>
      </c>
      <c r="D9" s="17"/>
      <c r="E9" s="17"/>
      <c r="F9" s="17"/>
    </row>
    <row r="10" spans="2:6" ht="22.05" customHeight="1" x14ac:dyDescent="0.3">
      <c r="B10" s="10" t="s">
        <v>135</v>
      </c>
      <c r="C10" s="19">
        <v>7</v>
      </c>
      <c r="D10" s="17"/>
      <c r="E10" s="17"/>
      <c r="F10" s="17"/>
    </row>
    <row r="11" spans="2:6" ht="22.05" customHeight="1" x14ac:dyDescent="0.3">
      <c r="B11" s="10" t="s">
        <v>136</v>
      </c>
      <c r="C11" s="19">
        <v>10</v>
      </c>
      <c r="D11" s="17"/>
      <c r="E11" s="17"/>
      <c r="F11" s="17"/>
    </row>
    <row r="13" spans="2:6" x14ac:dyDescent="0.3">
      <c r="B13" s="11" t="s">
        <v>137</v>
      </c>
      <c r="C13" s="11" t="s">
        <v>138</v>
      </c>
      <c r="D13" s="11" t="s">
        <v>139</v>
      </c>
    </row>
    <row r="14" spans="2:6" x14ac:dyDescent="0.3">
      <c r="B14" s="12" t="s">
        <v>18</v>
      </c>
      <c r="C14" s="12">
        <f>COUNTIF('Test Cases'!I5:I24, "Đạt (Pass)")</f>
        <v>18</v>
      </c>
      <c r="D14" s="13">
        <f>C14/C18</f>
        <v>1</v>
      </c>
    </row>
    <row r="15" spans="2:6" x14ac:dyDescent="0.3">
      <c r="B15" s="12" t="s">
        <v>140</v>
      </c>
      <c r="C15" s="12">
        <f>COUNTIF('Test Cases'!I5:I24, "Thất bại (Fail)")</f>
        <v>0</v>
      </c>
      <c r="D15" s="13">
        <f>C15/C18</f>
        <v>0</v>
      </c>
    </row>
    <row r="16" spans="2:6" x14ac:dyDescent="0.3">
      <c r="B16" s="12" t="s">
        <v>141</v>
      </c>
      <c r="C16" s="12">
        <f>COUNTIF('Test Cases'!I5:I24, "Chưa chạy")</f>
        <v>0</v>
      </c>
      <c r="D16" s="13">
        <f>C16/C18</f>
        <v>0</v>
      </c>
    </row>
    <row r="17" spans="2:4" x14ac:dyDescent="0.3">
      <c r="B17" s="12" t="s">
        <v>142</v>
      </c>
      <c r="C17" s="12">
        <f>COUNTIF('Test Cases'!I5:I24, "Tạm hoãn (Blocked)")</f>
        <v>0</v>
      </c>
      <c r="D17" s="13">
        <f>C17/C18</f>
        <v>0</v>
      </c>
    </row>
    <row r="18" spans="2:4" x14ac:dyDescent="0.3">
      <c r="B18" s="14" t="s">
        <v>143</v>
      </c>
      <c r="C18" s="14">
        <f>SUM(C14:C17)</f>
        <v>18</v>
      </c>
      <c r="D18" s="15">
        <f>SUM(D14:D17)</f>
        <v>1</v>
      </c>
    </row>
  </sheetData>
  <mergeCells count="9">
    <mergeCell ref="C11:F11"/>
    <mergeCell ref="C10:F10"/>
    <mergeCell ref="C5:F5"/>
    <mergeCell ref="C9:F9"/>
    <mergeCell ref="B2:F2"/>
    <mergeCell ref="C8:F8"/>
    <mergeCell ref="C4:F4"/>
    <mergeCell ref="C6:F6"/>
    <mergeCell ref="C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Tổng 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Ngan Luong</cp:lastModifiedBy>
  <dcterms:created xsi:type="dcterms:W3CDTF">2026-10-08T07:36:32Z</dcterms:created>
  <dcterms:modified xsi:type="dcterms:W3CDTF">2026-10-08T09:02:39Z</dcterms:modified>
</cp:coreProperties>
</file>